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C:\Users\kazum\projects\kinnmuhyou_16\参考\"/>
    </mc:Choice>
  </mc:AlternateContent>
  <xr:revisionPtr revIDLastSave="0" documentId="13_ncr:1_{BC032F96-D4B5-437B-8C34-C24AFB7F5E75}" xr6:coauthVersionLast="47" xr6:coauthVersionMax="47" xr10:uidLastSave="{00000000-0000-0000-0000-000000000000}"/>
  <bookViews>
    <workbookView xWindow="31710" yWindow="1080" windowWidth="21870" windowHeight="14400" xr2:uid="{00000000-000D-0000-FFFF-FFFF00000000}"/>
  </bookViews>
  <sheets>
    <sheet name="作業報告書" sheetId="1" r:id="rId1"/>
  </sheets>
  <definedNames>
    <definedName name="_xlnm.Print_Area" localSheetId="0">作業報告書!$B$3:$L$58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 i="1" l="1"/>
  <c r="O40" i="1"/>
  <c r="Q40" i="1" s="1"/>
  <c r="D40" i="1" s="1"/>
  <c r="O37" i="1"/>
  <c r="O36" i="1"/>
  <c r="O35" i="1"/>
  <c r="O34" i="1"/>
  <c r="Q34" i="1" s="1"/>
  <c r="D34" i="1" s="1"/>
  <c r="O33" i="1"/>
  <c r="O30" i="1"/>
  <c r="O29" i="1"/>
  <c r="O28" i="1"/>
  <c r="Q28" i="1" s="1"/>
  <c r="D28" i="1" s="1"/>
  <c r="O27" i="1"/>
  <c r="Q27" i="1" s="1"/>
  <c r="D27" i="1" s="1"/>
  <c r="O26" i="1"/>
  <c r="Q26" i="1" s="1"/>
  <c r="D26" i="1" s="1"/>
  <c r="O23" i="1"/>
  <c r="O22" i="1"/>
  <c r="O21" i="1"/>
  <c r="O20" i="1"/>
  <c r="O19" i="1"/>
  <c r="Q19" i="1" s="1"/>
  <c r="D19" i="1" s="1"/>
  <c r="O16" i="1"/>
  <c r="Q16" i="1" s="1"/>
  <c r="D16" i="1" s="1"/>
  <c r="O15" i="1"/>
  <c r="Q15" i="1" s="1"/>
  <c r="D15" i="1" s="1"/>
  <c r="O14" i="1"/>
  <c r="O12" i="1"/>
  <c r="Q12" i="1" s="1"/>
  <c r="D12" i="1" s="1"/>
  <c r="O11" i="1"/>
  <c r="O39" i="1"/>
  <c r="O38" i="1"/>
  <c r="O32" i="1"/>
  <c r="O31" i="1"/>
  <c r="O25" i="1"/>
  <c r="O24" i="1"/>
  <c r="O17" i="1"/>
  <c r="Q17" i="1" s="1"/>
  <c r="D17" i="1" s="1"/>
  <c r="O13" i="1"/>
  <c r="B10" i="1"/>
  <c r="C10" i="1" s="1"/>
  <c r="O10" i="1"/>
  <c r="Q36" i="1" l="1"/>
  <c r="D36" i="1" s="1"/>
  <c r="Q39" i="1"/>
  <c r="D39" i="1" s="1"/>
  <c r="Q37" i="1"/>
  <c r="D37" i="1" s="1"/>
  <c r="Q32" i="1"/>
  <c r="D32" i="1" s="1"/>
  <c r="Q22" i="1"/>
  <c r="D22" i="1" s="1"/>
  <c r="Q25" i="1"/>
  <c r="D25" i="1" s="1"/>
  <c r="Q33" i="1"/>
  <c r="D33" i="1" s="1"/>
  <c r="Q18" i="1"/>
  <c r="D18" i="1" s="1"/>
  <c r="Q13" i="1"/>
  <c r="D13" i="1" s="1"/>
  <c r="Q38" i="1"/>
  <c r="D38" i="1" s="1"/>
  <c r="Q31" i="1"/>
  <c r="D31" i="1" s="1"/>
  <c r="Q14" i="1"/>
  <c r="D14" i="1" s="1"/>
  <c r="Q11" i="1"/>
  <c r="D11" i="1" s="1"/>
  <c r="Q35" i="1"/>
  <c r="D35" i="1" s="1"/>
  <c r="Q24" i="1"/>
  <c r="D24" i="1" s="1"/>
  <c r="Q20" i="1"/>
  <c r="D20" i="1" s="1"/>
  <c r="Q29" i="1"/>
  <c r="D29" i="1" s="1"/>
  <c r="Q30" i="1"/>
  <c r="D30" i="1" s="1"/>
  <c r="Q21" i="1"/>
  <c r="D21" i="1" s="1"/>
  <c r="Q23" i="1"/>
  <c r="D23" i="1" s="1"/>
  <c r="Q10" i="1"/>
  <c r="D10" i="1" s="1"/>
  <c r="B11" i="1"/>
  <c r="D41" i="1" l="1"/>
  <c r="C11" i="1"/>
  <c r="B12" i="1"/>
  <c r="B13" i="1" l="1"/>
  <c r="C12" i="1"/>
  <c r="C13" i="1" l="1"/>
  <c r="B14" i="1"/>
  <c r="C14" i="1" l="1"/>
  <c r="B15" i="1"/>
  <c r="C15" i="1" l="1"/>
  <c r="B16" i="1"/>
  <c r="B17" i="1" l="1"/>
  <c r="C16" i="1"/>
  <c r="C17" i="1" l="1"/>
  <c r="B18" i="1"/>
  <c r="C18" i="1" l="1"/>
  <c r="B19" i="1"/>
  <c r="B20" i="1" l="1"/>
  <c r="C19" i="1"/>
  <c r="C20" i="1" l="1"/>
  <c r="B21" i="1"/>
  <c r="B22" i="1" l="1"/>
  <c r="C21" i="1"/>
  <c r="C22" i="1" l="1"/>
  <c r="B23" i="1"/>
  <c r="B24" i="1" l="1"/>
  <c r="C23" i="1"/>
  <c r="C24" i="1" l="1"/>
  <c r="B25" i="1"/>
  <c r="B26" i="1" l="1"/>
  <c r="C25" i="1"/>
  <c r="C26" i="1" l="1"/>
  <c r="B27" i="1"/>
  <c r="C27" i="1" l="1"/>
  <c r="B28" i="1"/>
  <c r="B29" i="1" l="1"/>
  <c r="C28" i="1"/>
  <c r="C29" i="1" l="1"/>
  <c r="B30" i="1"/>
  <c r="B31" i="1" l="1"/>
  <c r="C30" i="1"/>
  <c r="C31" i="1" l="1"/>
  <c r="B32" i="1"/>
  <c r="B33" i="1" l="1"/>
  <c r="C32" i="1"/>
  <c r="C33" i="1" l="1"/>
  <c r="B34" i="1"/>
  <c r="B35" i="1" l="1"/>
  <c r="C34" i="1"/>
  <c r="C35" i="1" l="1"/>
  <c r="B36" i="1"/>
  <c r="B37" i="1" l="1"/>
  <c r="C36" i="1"/>
  <c r="C37" i="1" l="1"/>
  <c r="B38" i="1"/>
  <c r="B39" i="1" l="1"/>
  <c r="C38" i="1"/>
  <c r="C39" i="1" l="1"/>
  <c r="B40" i="1"/>
  <c r="C40" i="1" s="1"/>
</calcChain>
</file>

<file path=xl/sharedStrings.xml><?xml version="1.0" encoding="utf-8"?>
<sst xmlns="http://schemas.openxmlformats.org/spreadsheetml/2006/main" count="56" uniqueCount="49">
  <si>
    <t>作  業  報  告  書</t>
    <rPh sb="0" eb="1">
      <t>サク</t>
    </rPh>
    <rPh sb="3" eb="4">
      <t>ギョウ</t>
    </rPh>
    <phoneticPr fontId="4"/>
  </si>
  <si>
    <t xml:space="preserve">会社名  </t>
    <phoneticPr fontId="4"/>
  </si>
  <si>
    <t>ソフトベンチャー株式会社</t>
    <rPh sb="8" eb="10">
      <t>カブシキ</t>
    </rPh>
    <rPh sb="10" eb="12">
      <t>カイシャ</t>
    </rPh>
    <phoneticPr fontId="4"/>
  </si>
  <si>
    <t>部署</t>
    <rPh sb="0" eb="2">
      <t>ブショ</t>
    </rPh>
    <phoneticPr fontId="3"/>
  </si>
  <si>
    <t>氏名</t>
    <phoneticPr fontId="4"/>
  </si>
  <si>
    <t>※単位は時間</t>
    <rPh sb="1" eb="3">
      <t>タンイ</t>
    </rPh>
    <rPh sb="4" eb="6">
      <t>ジカン</t>
    </rPh>
    <phoneticPr fontId="3"/>
  </si>
  <si>
    <t>祝日の場合「祝」を入れる。</t>
    <rPh sb="0" eb="2">
      <t>シュクジツ</t>
    </rPh>
    <rPh sb="3" eb="5">
      <t>バアイ</t>
    </rPh>
    <rPh sb="6" eb="7">
      <t>シュク</t>
    </rPh>
    <rPh sb="9" eb="10">
      <t>イ</t>
    </rPh>
    <phoneticPr fontId="3"/>
  </si>
  <si>
    <t>↓</t>
    <phoneticPr fontId="3"/>
  </si>
  <si>
    <t>日付</t>
  </si>
  <si>
    <t>曜日</t>
  </si>
  <si>
    <t>作業時間</t>
    <rPh sb="0" eb="2">
      <t>サギョウ</t>
    </rPh>
    <rPh sb="2" eb="4">
      <t>ジカン</t>
    </rPh>
    <phoneticPr fontId="4"/>
  </si>
  <si>
    <t>作業内容</t>
    <phoneticPr fontId="4"/>
  </si>
  <si>
    <t>①出社時刻</t>
    <phoneticPr fontId="4"/>
  </si>
  <si>
    <t>②退社時刻</t>
    <phoneticPr fontId="4"/>
  </si>
  <si>
    <t>③勤務時間
（②－①）</t>
    <rPh sb="1" eb="3">
      <t>キンム</t>
    </rPh>
    <rPh sb="3" eb="5">
      <t>ジカン</t>
    </rPh>
    <phoneticPr fontId="4"/>
  </si>
  <si>
    <t>④休憩時間</t>
    <phoneticPr fontId="4"/>
  </si>
  <si>
    <t>作業時間
（③－④）</t>
    <rPh sb="0" eb="2">
      <t>サギョウ</t>
    </rPh>
    <phoneticPr fontId="4"/>
  </si>
  <si>
    <t>⑤</t>
    <phoneticPr fontId="3"/>
  </si>
  <si>
    <t>合計</t>
    <rPh sb="0" eb="2">
      <t>ゴウケイ</t>
    </rPh>
    <phoneticPr fontId="4"/>
  </si>
  <si>
    <t>h</t>
    <phoneticPr fontId="4"/>
  </si>
  <si>
    <t>特記事項</t>
    <rPh sb="0" eb="2">
      <t>トッキ</t>
    </rPh>
    <rPh sb="2" eb="4">
      <t>ジコウ</t>
    </rPh>
    <phoneticPr fontId="4"/>
  </si>
  <si>
    <t>◇記載ルール</t>
  </si>
  <si>
    <t>B1カラムを毎月書き換えて使ってください。日付、曜日はこの値を基に自動計算されます。</t>
    <rPh sb="6" eb="8">
      <t>マイツキ</t>
    </rPh>
    <rPh sb="8" eb="9">
      <t>カ</t>
    </rPh>
    <rPh sb="10" eb="11">
      <t>カ</t>
    </rPh>
    <rPh sb="13" eb="14">
      <t>ツカ</t>
    </rPh>
    <rPh sb="21" eb="23">
      <t>ヒヅケ</t>
    </rPh>
    <rPh sb="24" eb="26">
      <t>ヨウビ</t>
    </rPh>
    <rPh sb="29" eb="30">
      <t>アタイ</t>
    </rPh>
    <rPh sb="31" eb="32">
      <t>モト</t>
    </rPh>
    <rPh sb="33" eb="35">
      <t>ジドウ</t>
    </rPh>
    <rPh sb="35" eb="37">
      <t>ケイサン</t>
    </rPh>
    <phoneticPr fontId="3"/>
  </si>
  <si>
    <t>作業内容、①出社時刻、②退社時刻、⑤祝日を手入力する。（その他の項目は自動計算されます）</t>
    <rPh sb="0" eb="2">
      <t>サギョウ</t>
    </rPh>
    <rPh sb="2" eb="4">
      <t>ナイヨウ</t>
    </rPh>
    <rPh sb="6" eb="8">
      <t>シュッシャ</t>
    </rPh>
    <rPh sb="8" eb="10">
      <t>ジコク</t>
    </rPh>
    <rPh sb="12" eb="14">
      <t>タイシャ</t>
    </rPh>
    <rPh sb="14" eb="16">
      <t>ジコク</t>
    </rPh>
    <rPh sb="18" eb="20">
      <t>シュクジツ</t>
    </rPh>
    <rPh sb="21" eb="22">
      <t>テ</t>
    </rPh>
    <rPh sb="22" eb="24">
      <t>ニュウリョク</t>
    </rPh>
    <rPh sb="30" eb="31">
      <t>タ</t>
    </rPh>
    <rPh sb="32" eb="34">
      <t>コウモク</t>
    </rPh>
    <rPh sb="35" eb="37">
      <t>ジドウ</t>
    </rPh>
    <rPh sb="37" eb="39">
      <t>ケイサン</t>
    </rPh>
    <phoneticPr fontId="3"/>
  </si>
  <si>
    <t>出社時刻、退社時刻は15分単位にてまるめます。</t>
    <rPh sb="0" eb="2">
      <t>シュッシャ</t>
    </rPh>
    <rPh sb="2" eb="4">
      <t>ジコク</t>
    </rPh>
    <rPh sb="5" eb="7">
      <t>タイシャ</t>
    </rPh>
    <rPh sb="7" eb="9">
      <t>ジコク</t>
    </rPh>
    <rPh sb="12" eb="13">
      <t>フン</t>
    </rPh>
    <rPh sb="13" eb="15">
      <t>タンイ</t>
    </rPh>
    <phoneticPr fontId="3"/>
  </si>
  <si>
    <t>退社時間が0:00の場合24:00、深夜1:00は25:00として記入してください。</t>
    <rPh sb="10" eb="12">
      <t>バアイ</t>
    </rPh>
    <rPh sb="18" eb="20">
      <t>シンヤ</t>
    </rPh>
    <rPh sb="33" eb="35">
      <t>キニュウ</t>
    </rPh>
    <phoneticPr fontId="3"/>
  </si>
  <si>
    <t>◇作業時間算出ルール（自動計算）</t>
    <rPh sb="1" eb="3">
      <t>サギョウ</t>
    </rPh>
    <rPh sb="3" eb="5">
      <t>ジカン</t>
    </rPh>
    <rPh sb="5" eb="7">
      <t>サンシュツ</t>
    </rPh>
    <rPh sb="11" eb="13">
      <t>ジドウ</t>
    </rPh>
    <rPh sb="13" eb="15">
      <t>ケイサン</t>
    </rPh>
    <phoneticPr fontId="3"/>
  </si>
  <si>
    <t>(B)が18:30以降になると休憩時間が1:30（1.5H）となります。 (18:00～18:30は休憩時間という考え方です）</t>
    <rPh sb="9" eb="11">
      <t>イコウ</t>
    </rPh>
    <rPh sb="50" eb="52">
      <t>キュウケイ</t>
    </rPh>
    <rPh sb="52" eb="54">
      <t>ジカン</t>
    </rPh>
    <rPh sb="57" eb="58">
      <t>カンガ</t>
    </rPh>
    <rPh sb="59" eb="60">
      <t>カタ</t>
    </rPh>
    <phoneticPr fontId="3"/>
  </si>
  <si>
    <t>　つまり出社時刻が9:00で退社時刻が18:00の場合と18:30の場合作業時間は同じ8.0Hとなります。　</t>
    <rPh sb="4" eb="6">
      <t>シュッシャ</t>
    </rPh>
    <rPh sb="6" eb="8">
      <t>ジコク</t>
    </rPh>
    <rPh sb="14" eb="16">
      <t>タイシャ</t>
    </rPh>
    <rPh sb="16" eb="18">
      <t>ジコク</t>
    </rPh>
    <rPh sb="25" eb="27">
      <t>バアイ</t>
    </rPh>
    <rPh sb="34" eb="36">
      <t>バアイ</t>
    </rPh>
    <rPh sb="36" eb="38">
      <t>サギョウ</t>
    </rPh>
    <rPh sb="38" eb="40">
      <t>ジカン</t>
    </rPh>
    <rPh sb="41" eb="42">
      <t>オナ</t>
    </rPh>
    <phoneticPr fontId="3"/>
  </si>
  <si>
    <t>実際は12:20～13:20が昼休み時間ですが、このシートでは12:30～13:30を昼休みと計算しています。</t>
    <rPh sb="0" eb="2">
      <t>ジッサイ</t>
    </rPh>
    <rPh sb="15" eb="17">
      <t>ヒルヤス</t>
    </rPh>
    <rPh sb="18" eb="20">
      <t>ジカン</t>
    </rPh>
    <rPh sb="43" eb="45">
      <t>ヒルヤス</t>
    </rPh>
    <rPh sb="47" eb="49">
      <t>ケイサン</t>
    </rPh>
    <phoneticPr fontId="3"/>
  </si>
  <si>
    <t>　よって、都合により上記昼休みにかかる時間帯に出社および退社する際は各自このルールをご承知の上調整願います。</t>
    <rPh sb="5" eb="7">
      <t>ツゴウ</t>
    </rPh>
    <rPh sb="10" eb="12">
      <t>ジョウキ</t>
    </rPh>
    <rPh sb="12" eb="14">
      <t>ヒルヤス</t>
    </rPh>
    <rPh sb="19" eb="22">
      <t>ジカンタイ</t>
    </rPh>
    <rPh sb="23" eb="25">
      <t>シュッシャ</t>
    </rPh>
    <rPh sb="28" eb="30">
      <t>タイシャ</t>
    </rPh>
    <rPh sb="32" eb="33">
      <t>サイ</t>
    </rPh>
    <rPh sb="34" eb="36">
      <t>カクジ</t>
    </rPh>
    <rPh sb="43" eb="45">
      <t>ショウチ</t>
    </rPh>
    <rPh sb="46" eb="47">
      <t>ウエ</t>
    </rPh>
    <rPh sb="47" eb="49">
      <t>チョウセイ</t>
    </rPh>
    <rPh sb="49" eb="50">
      <t>ネガ</t>
    </rPh>
    <phoneticPr fontId="3"/>
  </si>
  <si>
    <t>　※出社時刻を12:30としても13:30までは昼休みとしますので作業時間には計算されません。</t>
    <rPh sb="2" eb="4">
      <t>シュッシャ</t>
    </rPh>
    <rPh sb="4" eb="6">
      <t>ジコク</t>
    </rPh>
    <rPh sb="24" eb="26">
      <t>ヒルヤス</t>
    </rPh>
    <rPh sb="33" eb="35">
      <t>サギョウ</t>
    </rPh>
    <rPh sb="35" eb="37">
      <t>ジカン</t>
    </rPh>
    <rPh sb="39" eb="41">
      <t>ケイサン</t>
    </rPh>
    <phoneticPr fontId="3"/>
  </si>
  <si>
    <t>本テストは、新規に構築されたSIP4D-CKANテスト環境において、主要機能が正常に動作することを確認することを目的とする。仕上げ。</t>
    <phoneticPr fontId="3"/>
  </si>
  <si>
    <t>プロンプトエンジニアリングなど練習</t>
    <rPh sb="15" eb="17">
      <t>レンシュウ</t>
    </rPh>
    <phoneticPr fontId="3"/>
  </si>
  <si>
    <t>CKANをSSO（シングルサインオン）対応したいという要望があります。以下の手順で中村さんの環境でやってもらえないですか？</t>
    <rPh sb="19" eb="21">
      <t>タイオウ</t>
    </rPh>
    <rPh sb="27" eb="29">
      <t>ヨウボウ</t>
    </rPh>
    <rPh sb="35" eb="37">
      <t>イカ</t>
    </rPh>
    <rPh sb="38" eb="40">
      <t>テジュン</t>
    </rPh>
    <rPh sb="41" eb="43">
      <t>ナカムラ</t>
    </rPh>
    <rPh sb="46" eb="48">
      <t>カンキョウ</t>
    </rPh>
    <phoneticPr fontId="3"/>
  </si>
  <si>
    <t>Mysqlで、どハマリ。やっと抜け出せた。</t>
    <rPh sb="15" eb="16">
      <t>ヌ</t>
    </rPh>
    <rPh sb="17" eb="20">
      <t>ダ</t>
    </rPh>
    <phoneticPr fontId="3"/>
  </si>
  <si>
    <t>やり直す。MySQLはおそらく関係なし。CKAN_VERSIONが2.11.1でやってみる。</t>
    <rPh sb="2" eb="3">
      <t>ナオ</t>
    </rPh>
    <rPh sb="15" eb="17">
      <t>カンケイ</t>
    </rPh>
    <phoneticPr fontId="3"/>
  </si>
  <si>
    <t>ようやくポイントが掴めたようだ</t>
    <rPh sb="9" eb="10">
      <t>ツカ</t>
    </rPh>
    <phoneticPr fontId="3"/>
  </si>
  <si>
    <t>keycloakを利用したシングルサインオン機能が終わった</t>
    <rPh sb="25" eb="26">
      <t>オ</t>
    </rPh>
    <phoneticPr fontId="3"/>
  </si>
  <si>
    <t>休み</t>
    <rPh sb="0" eb="1">
      <t>ヤス</t>
    </rPh>
    <phoneticPr fontId="3"/>
  </si>
  <si>
    <t>keycloakのSSO運用マニュアル</t>
    <rPh sb="12" eb="14">
      <t>ウンヨウ</t>
    </rPh>
    <phoneticPr fontId="3"/>
  </si>
  <si>
    <t>InfoCanalのAPIを実行して、件名、本文、情報種別をAPIのパラメータとして設定ほしい</t>
    <phoneticPr fontId="3"/>
  </si>
  <si>
    <t>InfoCanalのAPIを実行して、APIのパラメータとして設定することのベースを作成</t>
    <rPh sb="42" eb="44">
      <t>サクセイ</t>
    </rPh>
    <phoneticPr fontId="3"/>
  </si>
  <si>
    <t>InfoCanal連携機能など確認</t>
    <rPh sb="15" eb="17">
      <t>カクニ</t>
    </rPh>
    <phoneticPr fontId="3"/>
  </si>
  <si>
    <t>保存</t>
    <rPh sb="0" eb="2">
      <t>ホゾン</t>
    </rPh>
    <phoneticPr fontId="3"/>
  </si>
  <si>
    <t>印刷</t>
    <rPh sb="0" eb="2">
      <t>インサツ</t>
    </rPh>
    <phoneticPr fontId="3"/>
  </si>
  <si>
    <t>中村　一真</t>
    <rPh sb="0" eb="2">
      <t>ナカムラ</t>
    </rPh>
    <rPh sb="3" eb="5">
      <t>カズマ</t>
    </rPh>
    <phoneticPr fontId="3"/>
  </si>
  <si>
    <t>マスター</t>
    <phoneticPr fontId="3"/>
  </si>
  <si>
    <t>日報</t>
    <rPh sb="0" eb="2">
      <t>ニッポウ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</si>
</sst>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411]ggge&quot;年&quot;m&quot;月&quot;"/>
    <numFmt numFmtId="177" formatCode="d"/>
    <numFmt numFmtId="178" formatCode="aaa"/>
    <numFmt numFmtId="179" formatCode="0.00_ "/>
    <numFmt numFmtId="180" formatCode="0.00_);[Red]\(0.00\)"/>
    <numFmt numFmtId="181" formatCode="[h]:mm"/>
  </numFmts>
  <fonts count="9">
    <font>
      <sz val="11"/>
      <name val="ＭＳ Ｐゴシック"/>
      <family val="3"/>
      <charset val="128"/>
    </font>
    <font>
      <sz val="11"/>
      <name val="ＭＳ Ｐゴシック"/>
      <family val="3"/>
      <charset val="128"/>
    </font>
    <font>
      <sz val="11"/>
      <name val="明朝"/>
      <family val="1"/>
      <charset val="128"/>
    </font>
    <font>
      <sz val="6"/>
      <name val="ＭＳ Ｐゴシック"/>
      <family val="3"/>
      <charset val="128"/>
    </font>
    <font>
      <sz val="6"/>
      <name val="ＭＳ Ｐ明朝"/>
      <family val="1"/>
      <charset val="128"/>
    </font>
    <font>
      <sz val="14"/>
      <name val="BIZ UDゴシック"/>
      <family val="3"/>
      <charset val="128"/>
    </font>
    <font>
      <sz val="10"/>
      <name val="BIZ UDゴシック"/>
      <family val="3"/>
      <charset val="128"/>
    </font>
    <font>
      <b/>
      <sz val="10"/>
      <name val="BIZ UDゴシック"/>
      <family val="3"/>
      <charset val="128"/>
    </font>
    <font>
      <b/>
      <sz val="16"/>
      <name val="BIZ UDゴシック"/>
      <family val="3"/>
      <charset val="128"/>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4.9989318521683403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6" fontId="1" fillId="0" borderId="0" applyFont="0" applyFill="0" applyBorder="0" applyAlignment="0" applyProtection="0"/>
    <xf numFmtId="0" fontId="2" fillId="0" borderId="0"/>
  </cellStyleXfs>
  <cellXfs count="85">
    <xf numFmtId="0" fontId="0" fillId="0" borderId="0" xfId="0"/>
    <xf numFmtId="0" fontId="6" fillId="0" borderId="0" xfId="0" applyFont="1"/>
    <xf numFmtId="0" fontId="6" fillId="4" borderId="1" xfId="0" applyFont="1" applyFill="1" applyBorder="1" applyAlignment="1">
      <alignment horizontal="center" vertical="center"/>
    </xf>
    <xf numFmtId="0" fontId="7" fillId="2" borderId="0" xfId="2" applyFont="1" applyFill="1" applyProtection="1">
      <protection locked="0"/>
    </xf>
    <xf numFmtId="0" fontId="6" fillId="2" borderId="0" xfId="2" applyFont="1" applyFill="1" applyProtection="1">
      <protection locked="0"/>
    </xf>
    <xf numFmtId="0" fontId="6" fillId="2" borderId="0" xfId="2" applyFont="1" applyFill="1" applyAlignment="1" applyProtection="1">
      <alignment horizontal="center"/>
      <protection locked="0"/>
    </xf>
    <xf numFmtId="0" fontId="6" fillId="2" borderId="0" xfId="2" applyFont="1" applyFill="1" applyAlignment="1">
      <alignment horizontal="centerContinuous"/>
    </xf>
    <xf numFmtId="0" fontId="6" fillId="2" borderId="0" xfId="2" applyFont="1" applyFill="1"/>
    <xf numFmtId="0" fontId="7" fillId="2" borderId="0" xfId="2" applyFont="1" applyFill="1"/>
    <xf numFmtId="0" fontId="6" fillId="2" borderId="1" xfId="2" applyFont="1" applyFill="1" applyBorder="1" applyAlignment="1" applyProtection="1">
      <alignment horizontal="center"/>
      <protection locked="0"/>
    </xf>
    <xf numFmtId="0" fontId="6" fillId="2" borderId="2" xfId="2" applyFont="1" applyFill="1" applyBorder="1" applyProtection="1">
      <protection locked="0"/>
    </xf>
    <xf numFmtId="0" fontId="6" fillId="2" borderId="3" xfId="2" applyFont="1" applyFill="1" applyBorder="1" applyProtection="1">
      <protection locked="0"/>
    </xf>
    <xf numFmtId="0" fontId="6" fillId="2" borderId="4" xfId="2" applyFont="1" applyFill="1" applyBorder="1"/>
    <xf numFmtId="0" fontId="6" fillId="2" borderId="2" xfId="2" applyFont="1" applyFill="1" applyBorder="1"/>
    <xf numFmtId="0" fontId="6" fillId="2" borderId="5" xfId="2" applyFont="1" applyFill="1" applyBorder="1" applyProtection="1">
      <protection locked="0"/>
    </xf>
    <xf numFmtId="0" fontId="6" fillId="2" borderId="0" xfId="2" applyFont="1" applyFill="1" applyAlignment="1">
      <alignment horizontal="center"/>
    </xf>
    <xf numFmtId="0" fontId="6" fillId="3" borderId="6" xfId="2" applyFont="1" applyFill="1" applyBorder="1" applyAlignment="1">
      <alignment horizontal="center" vertical="center"/>
    </xf>
    <xf numFmtId="0" fontId="6" fillId="3" borderId="17" xfId="2" applyFont="1" applyFill="1" applyBorder="1" applyAlignment="1">
      <alignment horizontal="centerContinuous" vertical="center"/>
    </xf>
    <xf numFmtId="0" fontId="6" fillId="3" borderId="18" xfId="2" applyFont="1" applyFill="1" applyBorder="1" applyAlignment="1">
      <alignment horizontal="centerContinuous" vertical="center"/>
    </xf>
    <xf numFmtId="0" fontId="6" fillId="3" borderId="19" xfId="2" applyFont="1" applyFill="1" applyBorder="1" applyAlignment="1">
      <alignment horizontal="centerContinuous" vertical="center"/>
    </xf>
    <xf numFmtId="0" fontId="6" fillId="2" borderId="6" xfId="2" applyFont="1" applyFill="1" applyBorder="1" applyAlignment="1">
      <alignment horizontal="center" vertical="center"/>
    </xf>
    <xf numFmtId="0" fontId="6" fillId="2" borderId="6" xfId="2" applyFont="1" applyFill="1" applyBorder="1" applyAlignment="1">
      <alignment horizontal="center" vertical="center" wrapText="1"/>
    </xf>
    <xf numFmtId="0" fontId="6" fillId="2" borderId="4" xfId="2" applyFont="1" applyFill="1" applyBorder="1" applyAlignment="1">
      <alignment horizontal="center" vertical="center"/>
    </xf>
    <xf numFmtId="0" fontId="6" fillId="2" borderId="10" xfId="2" applyFont="1" applyFill="1" applyBorder="1" applyProtection="1">
      <protection locked="0"/>
    </xf>
    <xf numFmtId="0" fontId="6" fillId="2" borderId="11" xfId="2" applyFont="1" applyFill="1" applyBorder="1" applyAlignment="1" applyProtection="1">
      <alignment horizontal="right"/>
      <protection locked="0"/>
    </xf>
    <xf numFmtId="0" fontId="6" fillId="2" borderId="11" xfId="2" applyFont="1" applyFill="1" applyBorder="1" applyProtection="1">
      <protection locked="0"/>
    </xf>
    <xf numFmtId="0" fontId="6" fillId="2" borderId="12" xfId="2" applyFont="1" applyFill="1" applyBorder="1" applyProtection="1">
      <protection locked="0"/>
    </xf>
    <xf numFmtId="0" fontId="6" fillId="2" borderId="4" xfId="2" applyFont="1" applyFill="1" applyBorder="1" applyProtection="1">
      <protection locked="0"/>
    </xf>
    <xf numFmtId="0" fontId="6" fillId="2" borderId="0" xfId="2" quotePrefix="1" applyFont="1" applyFill="1" applyProtection="1">
      <protection locked="0"/>
    </xf>
    <xf numFmtId="0" fontId="6" fillId="2" borderId="13" xfId="2" applyFont="1" applyFill="1" applyBorder="1" applyProtection="1">
      <protection locked="0"/>
    </xf>
    <xf numFmtId="0" fontId="6" fillId="2" borderId="0" xfId="2" applyFont="1" applyFill="1" applyAlignment="1" applyProtection="1">
      <alignment horizontal="right"/>
      <protection locked="0"/>
    </xf>
    <xf numFmtId="0" fontId="6" fillId="0" borderId="0" xfId="2" applyFont="1" applyProtection="1">
      <protection locked="0"/>
    </xf>
    <xf numFmtId="179" fontId="6" fillId="2" borderId="0" xfId="2" applyNumberFormat="1" applyFont="1" applyFill="1" applyAlignment="1" applyProtection="1">
      <alignment horizontal="right"/>
      <protection locked="0"/>
    </xf>
    <xf numFmtId="180" fontId="6" fillId="0" borderId="0" xfId="2" applyNumberFormat="1" applyFont="1" applyProtection="1">
      <protection locked="0"/>
    </xf>
    <xf numFmtId="0" fontId="6" fillId="2" borderId="14" xfId="2" applyFont="1" applyFill="1" applyBorder="1" applyProtection="1">
      <protection locked="0"/>
    </xf>
    <xf numFmtId="0" fontId="6" fillId="2" borderId="15" xfId="2" applyFont="1" applyFill="1" applyBorder="1" applyProtection="1">
      <protection locked="0"/>
    </xf>
    <xf numFmtId="0" fontId="8" fillId="2" borderId="0" xfId="2" applyFont="1" applyFill="1" applyProtection="1">
      <protection locked="0"/>
    </xf>
    <xf numFmtId="177" fontId="6" fillId="2" borderId="1" xfId="2" applyNumberFormat="1" applyFont="1" applyFill="1" applyBorder="1" applyAlignment="1">
      <alignment horizontal="center" vertical="center"/>
    </xf>
    <xf numFmtId="178" fontId="6" fillId="2" borderId="1" xfId="2" applyNumberFormat="1" applyFont="1" applyFill="1" applyBorder="1" applyAlignment="1">
      <alignment horizontal="center" vertical="center"/>
    </xf>
    <xf numFmtId="2" fontId="6" fillId="0" borderId="1" xfId="1" applyNumberFormat="1" applyFont="1" applyFill="1" applyBorder="1" applyAlignment="1" applyProtection="1">
      <alignment horizontal="center" vertical="center"/>
    </xf>
    <xf numFmtId="0" fontId="6" fillId="0" borderId="20" xfId="1" applyNumberFormat="1" applyFont="1" applyFill="1" applyBorder="1" applyAlignment="1" applyProtection="1">
      <alignment horizontal="left" vertical="center"/>
      <protection locked="0"/>
    </xf>
    <xf numFmtId="0" fontId="6" fillId="0" borderId="20" xfId="0" applyFont="1" applyBorder="1" applyAlignment="1" applyProtection="1">
      <alignment horizontal="left" vertical="center"/>
      <protection locked="0"/>
    </xf>
    <xf numFmtId="0" fontId="6" fillId="0" borderId="20" xfId="2" applyFont="1" applyBorder="1" applyAlignment="1" applyProtection="1">
      <alignment horizontal="left" vertical="center"/>
      <protection locked="0"/>
    </xf>
    <xf numFmtId="0" fontId="6" fillId="2" borderId="8" xfId="2" applyFont="1" applyFill="1" applyBorder="1" applyAlignment="1" applyProtection="1">
      <alignment vertical="center"/>
      <protection locked="0"/>
    </xf>
    <xf numFmtId="0" fontId="6" fillId="0" borderId="8" xfId="0" applyFont="1" applyBorder="1" applyAlignment="1" applyProtection="1">
      <alignment vertical="center" wrapText="1"/>
      <protection locked="0"/>
    </xf>
    <xf numFmtId="0" fontId="6" fillId="0" borderId="9" xfId="0" applyFont="1" applyBorder="1" applyAlignment="1" applyProtection="1">
      <alignment vertical="center" wrapText="1"/>
      <protection locked="0"/>
    </xf>
    <xf numFmtId="20" fontId="6" fillId="0" borderId="1" xfId="1" applyNumberFormat="1" applyFont="1" applyFill="1" applyBorder="1" applyAlignment="1" applyProtection="1">
      <alignment horizontal="center" vertical="center"/>
      <protection locked="0"/>
    </xf>
    <xf numFmtId="181" fontId="6" fillId="0" borderId="1" xfId="1" quotePrefix="1" applyNumberFormat="1" applyFont="1" applyFill="1" applyBorder="1" applyAlignment="1" applyProtection="1">
      <alignment horizontal="center" vertical="center"/>
      <protection locked="0"/>
    </xf>
    <xf numFmtId="2" fontId="6" fillId="0" borderId="1" xfId="0" applyNumberFormat="1" applyFont="1" applyBorder="1" applyAlignment="1">
      <alignment horizontal="center" vertical="center"/>
    </xf>
    <xf numFmtId="179" fontId="6" fillId="0" borderId="1" xfId="1" applyNumberFormat="1" applyFont="1" applyFill="1" applyBorder="1" applyAlignment="1" applyProtection="1">
      <alignment horizontal="center" vertical="center"/>
    </xf>
    <xf numFmtId="2" fontId="6" fillId="2" borderId="1" xfId="0" applyNumberFormat="1" applyFont="1" applyFill="1" applyBorder="1" applyAlignment="1">
      <alignment horizontal="center" vertical="center"/>
    </xf>
    <xf numFmtId="179" fontId="6" fillId="2" borderId="1" xfId="1" applyNumberFormat="1" applyFont="1" applyFill="1" applyBorder="1" applyAlignment="1" applyProtection="1">
      <alignment horizontal="center" vertical="center"/>
    </xf>
    <xf numFmtId="0" fontId="6" fillId="2" borderId="20" xfId="2" applyFont="1" applyFill="1" applyBorder="1" applyAlignment="1" applyProtection="1">
      <alignment horizontal="left" vertical="center"/>
      <protection locked="0"/>
    </xf>
    <xf numFmtId="0" fontId="6" fillId="2" borderId="20" xfId="0" applyFont="1" applyFill="1" applyBorder="1" applyAlignment="1" applyProtection="1">
      <alignment horizontal="left" vertical="center"/>
      <protection locked="0"/>
    </xf>
    <xf numFmtId="0" fontId="6" fillId="2" borderId="20" xfId="1" applyNumberFormat="1" applyFont="1" applyFill="1" applyBorder="1" applyAlignment="1" applyProtection="1">
      <alignment horizontal="left" vertical="center"/>
      <protection locked="0"/>
    </xf>
    <xf numFmtId="0" fontId="6" fillId="0" borderId="20" xfId="0" applyFont="1" applyBorder="1" applyAlignment="1" applyProtection="1">
      <alignment vertical="center" wrapText="1"/>
      <protection locked="0"/>
    </xf>
    <xf numFmtId="0" fontId="6" fillId="0" borderId="21" xfId="0" applyFont="1" applyBorder="1" applyAlignment="1" applyProtection="1">
      <alignment vertical="center" wrapText="1"/>
      <protection locked="0"/>
    </xf>
    <xf numFmtId="0" fontId="6" fillId="2" borderId="20" xfId="2" applyFont="1" applyFill="1" applyBorder="1" applyAlignment="1" applyProtection="1">
      <alignment vertical="center"/>
      <protection locked="0"/>
    </xf>
    <xf numFmtId="0" fontId="6" fillId="2" borderId="20" xfId="0" applyFont="1" applyFill="1" applyBorder="1" applyAlignment="1" applyProtection="1">
      <alignment vertical="center"/>
      <protection locked="0"/>
    </xf>
    <xf numFmtId="0" fontId="6" fillId="2" borderId="20" xfId="0" applyFont="1" applyFill="1" applyBorder="1" applyAlignment="1" applyProtection="1">
      <alignment vertical="center" wrapText="1"/>
      <protection locked="0"/>
    </xf>
    <xf numFmtId="0" fontId="6" fillId="2" borderId="21" xfId="0" applyFont="1" applyFill="1" applyBorder="1" applyAlignment="1" applyProtection="1">
      <alignment vertical="center" wrapText="1"/>
      <protection locked="0"/>
    </xf>
    <xf numFmtId="0" fontId="6" fillId="0" borderId="20" xfId="0" applyFont="1" applyBorder="1" applyAlignment="1" applyProtection="1">
      <alignment vertical="center"/>
      <protection locked="0"/>
    </xf>
    <xf numFmtId="0" fontId="6" fillId="2" borderId="7" xfId="2" applyFont="1" applyFill="1" applyBorder="1" applyAlignment="1">
      <alignment horizontal="centerContinuous" vertical="center"/>
    </xf>
    <xf numFmtId="0" fontId="6" fillId="2" borderId="8" xfId="2" applyFont="1" applyFill="1" applyBorder="1" applyAlignment="1">
      <alignment horizontal="right" vertical="center"/>
    </xf>
    <xf numFmtId="179" fontId="6" fillId="2" borderId="16" xfId="2" applyNumberFormat="1" applyFont="1" applyFill="1" applyBorder="1" applyAlignment="1">
      <alignment horizontal="center" vertical="center"/>
    </xf>
    <xf numFmtId="0" fontId="6" fillId="2" borderId="7" xfId="2" applyFont="1" applyFill="1" applyBorder="1" applyAlignment="1">
      <alignment horizontal="left" vertical="center"/>
    </xf>
    <xf numFmtId="0" fontId="6" fillId="2" borderId="8" xfId="2" applyFont="1" applyFill="1" applyBorder="1" applyAlignment="1">
      <alignment horizontal="centerContinuous" vertical="center"/>
    </xf>
    <xf numFmtId="179" fontId="6" fillId="2" borderId="8" xfId="2" applyNumberFormat="1" applyFont="1" applyFill="1" applyBorder="1" applyAlignment="1">
      <alignment horizontal="center" vertical="center"/>
    </xf>
    <xf numFmtId="0" fontId="6" fillId="2" borderId="8" xfId="2" applyFont="1" applyFill="1" applyBorder="1" applyAlignment="1">
      <alignment vertical="center"/>
    </xf>
    <xf numFmtId="0" fontId="6" fillId="2" borderId="9" xfId="2" applyFont="1" applyFill="1" applyBorder="1" applyAlignment="1">
      <alignment vertical="center"/>
    </xf>
    <xf numFmtId="0" fontId="6" fillId="2" borderId="4" xfId="2" applyFont="1" applyFill="1" applyBorder="1" applyAlignment="1">
      <alignment horizontal="centerContinuous" vertical="center"/>
    </xf>
    <xf numFmtId="0" fontId="6" fillId="2" borderId="0" xfId="2" applyFont="1" applyFill="1" applyAlignment="1">
      <alignment horizontal="centerContinuous" vertical="center"/>
    </xf>
    <xf numFmtId="0" fontId="6" fillId="2" borderId="22" xfId="2" applyFont="1" applyFill="1" applyBorder="1" applyAlignment="1" applyProtection="1">
      <alignment horizontal="left" vertical="center" wrapText="1"/>
      <protection locked="0"/>
    </xf>
    <xf numFmtId="0" fontId="6" fillId="2" borderId="20" xfId="2" applyFont="1" applyFill="1" applyBorder="1" applyAlignment="1" applyProtection="1">
      <alignment horizontal="left" vertical="center" wrapText="1"/>
      <protection locked="0"/>
    </xf>
    <xf numFmtId="0" fontId="6" fillId="2" borderId="21" xfId="2" applyFont="1" applyFill="1" applyBorder="1" applyAlignment="1" applyProtection="1">
      <alignment horizontal="left" vertical="center" wrapText="1"/>
      <protection locked="0"/>
    </xf>
    <xf numFmtId="0" fontId="6" fillId="2" borderId="22" xfId="2" applyFont="1" applyFill="1" applyBorder="1" applyAlignment="1" applyProtection="1">
      <alignment horizontal="left" vertical="center"/>
      <protection locked="0"/>
    </xf>
    <xf numFmtId="0" fontId="6" fillId="2" borderId="20" xfId="2" applyFont="1" applyFill="1" applyBorder="1" applyAlignment="1" applyProtection="1">
      <alignment horizontal="left" vertical="center"/>
      <protection locked="0"/>
    </xf>
    <xf numFmtId="0" fontId="6" fillId="2" borderId="21" xfId="2" applyFont="1" applyFill="1" applyBorder="1" applyAlignment="1" applyProtection="1">
      <alignment horizontal="left" vertical="center"/>
      <protection locked="0"/>
    </xf>
    <xf numFmtId="176" fontId="5" fillId="2" borderId="0" xfId="2" applyNumberFormat="1" applyFont="1" applyFill="1" applyAlignment="1" applyProtection="1">
      <alignment horizontal="left"/>
      <protection locked="0"/>
    </xf>
    <xf numFmtId="0" fontId="6" fillId="0" borderId="22" xfId="1" applyNumberFormat="1" applyFont="1" applyFill="1" applyBorder="1" applyAlignment="1" applyProtection="1">
      <alignment horizontal="left" vertical="center" wrapText="1"/>
      <protection locked="0"/>
    </xf>
    <xf numFmtId="0" fontId="6" fillId="0" borderId="20" xfId="1" applyNumberFormat="1" applyFont="1" applyFill="1" applyBorder="1" applyAlignment="1" applyProtection="1">
      <alignment horizontal="left" vertical="center" wrapText="1"/>
      <protection locked="0"/>
    </xf>
    <xf numFmtId="0" fontId="6" fillId="0" borderId="21" xfId="1" applyNumberFormat="1" applyFont="1" applyFill="1" applyBorder="1" applyAlignment="1" applyProtection="1">
      <alignment horizontal="left" vertical="center" wrapText="1"/>
      <protection locked="0"/>
    </xf>
    <xf numFmtId="0" fontId="6" fillId="0" borderId="22" xfId="1" applyNumberFormat="1" applyFont="1" applyFill="1" applyBorder="1" applyAlignment="1" applyProtection="1">
      <alignment horizontal="left" vertical="center"/>
      <protection locked="0"/>
    </xf>
    <xf numFmtId="0" fontId="6" fillId="0" borderId="20" xfId="1" applyNumberFormat="1" applyFont="1" applyFill="1" applyBorder="1" applyAlignment="1" applyProtection="1">
      <alignment horizontal="left" vertical="center"/>
      <protection locked="0"/>
    </xf>
    <xf numFmtId="0" fontId="6" fillId="0" borderId="21" xfId="1" applyNumberFormat="1" applyFont="1" applyFill="1" applyBorder="1" applyAlignment="1" applyProtection="1">
      <alignment horizontal="left" vertical="center"/>
      <protection locked="0"/>
    </xf>
  </cellXfs>
  <cellStyles count="3">
    <cellStyle name="通貨" xfId="1" builtinId="7"/>
    <cellStyle name="標準" xfId="0" builtinId="0"/>
    <cellStyle name="標準_勤務報告書2002（渡部）" xfId="2" xr:uid="{00000000-0005-0000-0000-000002000000}"/>
  </cellStyles>
  <dxfs count="7">
    <dxf>
      <font>
        <condense val="0"/>
        <extend val="0"/>
        <color auto="1"/>
      </font>
      <fill>
        <patternFill>
          <bgColor indexed="47"/>
        </patternFill>
      </fill>
    </dxf>
    <dxf>
      <fill>
        <patternFill>
          <bgColor indexed="47"/>
        </patternFill>
      </fill>
    </dxf>
    <dxf>
      <fill>
        <patternFill>
          <bgColor indexed="47"/>
        </patternFill>
      </fill>
    </dxf>
    <dxf>
      <font>
        <condense val="0"/>
        <extend val="0"/>
        <color auto="1"/>
      </font>
      <fill>
        <patternFill>
          <bgColor indexed="47"/>
        </patternFill>
      </fill>
    </dxf>
    <dxf>
      <fill>
        <patternFill>
          <bgColor indexed="47"/>
        </patternFill>
      </fill>
    </dxf>
    <dxf>
      <fill>
        <patternFill>
          <bgColor indexed="47"/>
        </patternFill>
      </fill>
    </dxf>
    <dxf>
      <font>
        <condense val="0"/>
        <extend val="0"/>
        <color auto="1"/>
      </font>
      <fill>
        <patternFill>
          <bgColor indexed="4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R58"/>
  <sheetViews>
    <sheetView showGridLines="0" tabSelected="1" zoomScaleNormal="100" zoomScaleSheetLayoutView="100" workbookViewId="0">
      <selection activeCell="A2" sqref="A2"/>
    </sheetView>
  </sheetViews>
  <sheetFormatPr defaultRowHeight="12"/>
  <cols>
    <col min="1" max="1" width="1.375" style="1" customWidth="1"/>
    <col min="2" max="3" width="4.625" style="1" customWidth="1"/>
    <col min="4" max="4" width="9" style="1"/>
    <col min="5" max="12" width="9.375" style="1" customWidth="1"/>
    <col min="13" max="17" width="13.375" style="1" customWidth="1"/>
    <col min="18" max="18" width="5.625" style="1" customWidth="1"/>
    <col min="19" max="19" width="16.625" style="1" customWidth="1"/>
    <col min="20" max="16384" width="9" style="1"/>
  </cols>
  <sheetData>
    <row r="1" spans="2:18" ht="4.5" customHeight="1"/>
    <row r="2" spans="2:18" ht="16.5" customHeight="1">
      <c r="I2" s="2" t="s">
        <v>48</v>
      </c>
      <c r="J2" s="2" t="s">
        <v>47</v>
      </c>
      <c r="K2" s="2" t="s">
        <v>44</v>
      </c>
      <c r="L2" s="2" t="s">
        <v>45</v>
      </c>
    </row>
    <row r="3" spans="2:18" ht="18.75">
      <c r="B3" s="78">
        <v>45870</v>
      </c>
      <c r="C3" s="78"/>
      <c r="D3" s="78"/>
      <c r="E3" s="78"/>
      <c r="F3" s="36" t="s">
        <v>0</v>
      </c>
      <c r="G3" s="3"/>
      <c r="H3" s="4"/>
      <c r="I3" s="4"/>
      <c r="J3" s="5"/>
      <c r="K3" s="5"/>
      <c r="L3" s="5"/>
      <c r="M3" s="6"/>
      <c r="N3" s="7"/>
      <c r="O3" s="8"/>
      <c r="P3" s="8"/>
      <c r="Q3" s="8"/>
    </row>
    <row r="4" spans="2:18">
      <c r="B4" s="7"/>
      <c r="C4" s="7"/>
      <c r="D4" s="7"/>
      <c r="E4" s="7"/>
      <c r="F4" s="7"/>
      <c r="G4" s="7"/>
      <c r="H4" s="7"/>
      <c r="I4" s="7"/>
      <c r="J4" s="9"/>
      <c r="K4" s="9"/>
      <c r="L4" s="9"/>
      <c r="M4" s="7"/>
      <c r="N4" s="7"/>
      <c r="O4" s="7"/>
      <c r="P4" s="7"/>
      <c r="Q4" s="7"/>
    </row>
    <row r="5" spans="2:18">
      <c r="B5" s="10" t="s">
        <v>1</v>
      </c>
      <c r="C5" s="10"/>
      <c r="D5" s="10" t="s">
        <v>2</v>
      </c>
      <c r="E5" s="10"/>
      <c r="F5" s="10"/>
      <c r="G5" s="7"/>
      <c r="H5" s="7"/>
      <c r="I5" s="7"/>
      <c r="J5" s="11"/>
      <c r="K5" s="11"/>
      <c r="L5" s="11"/>
      <c r="M5" s="12"/>
      <c r="N5" s="7"/>
      <c r="O5" s="7"/>
      <c r="P5" s="7"/>
      <c r="Q5" s="7"/>
    </row>
    <row r="6" spans="2:18">
      <c r="B6" s="10" t="s">
        <v>3</v>
      </c>
      <c r="C6" s="10"/>
      <c r="D6" s="10"/>
      <c r="E6" s="10"/>
      <c r="F6" s="10"/>
      <c r="G6" s="7"/>
      <c r="H6" s="7"/>
      <c r="I6" s="7"/>
      <c r="J6" s="11"/>
      <c r="K6" s="11"/>
      <c r="L6" s="11"/>
      <c r="M6" s="12"/>
      <c r="N6" s="7"/>
      <c r="O6" s="7"/>
      <c r="P6" s="7"/>
      <c r="Q6" s="7"/>
    </row>
    <row r="7" spans="2:18">
      <c r="B7" s="10" t="s">
        <v>4</v>
      </c>
      <c r="C7" s="10"/>
      <c r="D7" s="13" t="s">
        <v>46</v>
      </c>
      <c r="E7" s="10"/>
      <c r="F7" s="10"/>
      <c r="G7" s="7"/>
      <c r="H7" s="7"/>
      <c r="I7" s="7"/>
      <c r="J7" s="14"/>
      <c r="K7" s="14"/>
      <c r="L7" s="14"/>
      <c r="M7" s="12"/>
      <c r="N7" s="7"/>
      <c r="O7" s="7" t="s">
        <v>5</v>
      </c>
      <c r="P7" s="7" t="s">
        <v>5</v>
      </c>
      <c r="Q7" s="7" t="s">
        <v>5</v>
      </c>
      <c r="R7" s="1" t="s">
        <v>6</v>
      </c>
    </row>
    <row r="8" spans="2:18">
      <c r="B8" s="15"/>
      <c r="C8" s="7"/>
      <c r="D8" s="7"/>
      <c r="E8" s="7"/>
      <c r="F8" s="7"/>
      <c r="G8" s="7"/>
      <c r="H8" s="7"/>
      <c r="I8" s="7"/>
      <c r="J8" s="7"/>
      <c r="K8" s="7"/>
      <c r="L8" s="7"/>
      <c r="M8" s="7"/>
      <c r="N8" s="7"/>
      <c r="O8" s="7"/>
      <c r="P8" s="7"/>
      <c r="Q8" s="7"/>
      <c r="R8" s="1" t="s">
        <v>7</v>
      </c>
    </row>
    <row r="9" spans="2:18" ht="27" customHeight="1" thickBot="1">
      <c r="B9" s="16" t="s">
        <v>8</v>
      </c>
      <c r="C9" s="16" t="s">
        <v>9</v>
      </c>
      <c r="D9" s="16" t="s">
        <v>10</v>
      </c>
      <c r="E9" s="17" t="s">
        <v>11</v>
      </c>
      <c r="F9" s="18"/>
      <c r="G9" s="18"/>
      <c r="H9" s="18"/>
      <c r="I9" s="18"/>
      <c r="J9" s="18"/>
      <c r="K9" s="18"/>
      <c r="L9" s="19"/>
      <c r="M9" s="20" t="s">
        <v>12</v>
      </c>
      <c r="N9" s="20" t="s">
        <v>13</v>
      </c>
      <c r="O9" s="21" t="s">
        <v>14</v>
      </c>
      <c r="P9" s="20" t="s">
        <v>15</v>
      </c>
      <c r="Q9" s="21" t="s">
        <v>16</v>
      </c>
      <c r="R9" s="22" t="s">
        <v>17</v>
      </c>
    </row>
    <row r="10" spans="2:18" ht="15" customHeight="1" thickTop="1">
      <c r="B10" s="37">
        <f>B3</f>
        <v>45870</v>
      </c>
      <c r="C10" s="38">
        <f>B10</f>
        <v>45870</v>
      </c>
      <c r="D10" s="39">
        <f t="shared" ref="D10:D40" si="0">IF(ISBLANK(Q10),"",Q10)</f>
        <v>5.0000000000000009</v>
      </c>
      <c r="E10" s="40" t="s">
        <v>32</v>
      </c>
      <c r="F10" s="41"/>
      <c r="G10" s="40"/>
      <c r="H10" s="42"/>
      <c r="I10" s="43"/>
      <c r="J10" s="44"/>
      <c r="K10" s="44"/>
      <c r="L10" s="45"/>
      <c r="M10" s="46">
        <v>0.54166666666666663</v>
      </c>
      <c r="N10" s="47">
        <v>0.75</v>
      </c>
      <c r="O10" s="48">
        <f>IF(ISBLANK(M10),"",(N10-M10)*24)</f>
        <v>5.0000000000000009</v>
      </c>
      <c r="P10" s="49"/>
      <c r="Q10" s="48">
        <f>IF(ISBLANK(M10),"",(O10-P10))</f>
        <v>5.0000000000000009</v>
      </c>
    </row>
    <row r="11" spans="2:18" ht="15" customHeight="1">
      <c r="B11" s="37">
        <f t="shared" ref="B11:B39" si="1">B10+1</f>
        <v>45871</v>
      </c>
      <c r="C11" s="38">
        <f t="shared" ref="C11:C40" si="2">B11</f>
        <v>45871</v>
      </c>
      <c r="D11" s="39" t="str">
        <f t="shared" si="0"/>
        <v/>
      </c>
      <c r="E11" s="79"/>
      <c r="F11" s="80"/>
      <c r="G11" s="80"/>
      <c r="H11" s="80"/>
      <c r="I11" s="80"/>
      <c r="J11" s="80"/>
      <c r="K11" s="80"/>
      <c r="L11" s="81"/>
      <c r="M11" s="46"/>
      <c r="N11" s="47"/>
      <c r="O11" s="48" t="str">
        <f>IF(ISBLANK(M11),"",(N11-M11)*24)</f>
        <v/>
      </c>
      <c r="P11" s="49"/>
      <c r="Q11" s="48" t="str">
        <f t="shared" ref="Q11:Q39" si="3">IF(ISBLANK(M11),"",(O11-P11))</f>
        <v/>
      </c>
    </row>
    <row r="12" spans="2:18" ht="15" customHeight="1">
      <c r="B12" s="37">
        <f t="shared" si="1"/>
        <v>45872</v>
      </c>
      <c r="C12" s="38">
        <f t="shared" si="2"/>
        <v>45872</v>
      </c>
      <c r="D12" s="39" t="str">
        <f t="shared" si="0"/>
        <v/>
      </c>
      <c r="E12" s="82"/>
      <c r="F12" s="83"/>
      <c r="G12" s="83"/>
      <c r="H12" s="83"/>
      <c r="I12" s="83"/>
      <c r="J12" s="83"/>
      <c r="K12" s="83"/>
      <c r="L12" s="84"/>
      <c r="M12" s="46"/>
      <c r="N12" s="47"/>
      <c r="O12" s="50" t="str">
        <f t="shared" ref="O12:O40" si="4">IF(ISBLANK(M12),"",(N12-M12)*24)</f>
        <v/>
      </c>
      <c r="P12" s="49"/>
      <c r="Q12" s="48" t="str">
        <f t="shared" si="3"/>
        <v/>
      </c>
    </row>
    <row r="13" spans="2:18" ht="15" customHeight="1">
      <c r="B13" s="37">
        <f t="shared" si="1"/>
        <v>45873</v>
      </c>
      <c r="C13" s="38">
        <f t="shared" si="2"/>
        <v>45873</v>
      </c>
      <c r="D13" s="39">
        <f t="shared" si="0"/>
        <v>5.0000000000000009</v>
      </c>
      <c r="E13" s="79" t="s">
        <v>33</v>
      </c>
      <c r="F13" s="83"/>
      <c r="G13" s="83"/>
      <c r="H13" s="83"/>
      <c r="I13" s="83"/>
      <c r="J13" s="83"/>
      <c r="K13" s="83"/>
      <c r="L13" s="84"/>
      <c r="M13" s="46">
        <v>0.54166666666666663</v>
      </c>
      <c r="N13" s="47">
        <v>0.75</v>
      </c>
      <c r="O13" s="50">
        <f t="shared" si="4"/>
        <v>5.0000000000000009</v>
      </c>
      <c r="P13" s="51"/>
      <c r="Q13" s="50">
        <f t="shared" si="3"/>
        <v>5.0000000000000009</v>
      </c>
    </row>
    <row r="14" spans="2:18" ht="15" customHeight="1">
      <c r="B14" s="37">
        <f t="shared" si="1"/>
        <v>45874</v>
      </c>
      <c r="C14" s="38">
        <f t="shared" si="2"/>
        <v>45874</v>
      </c>
      <c r="D14" s="39" t="str">
        <f t="shared" si="0"/>
        <v/>
      </c>
      <c r="E14" s="52"/>
      <c r="F14" s="53"/>
      <c r="G14" s="54"/>
      <c r="H14" s="52"/>
      <c r="I14" s="52"/>
      <c r="J14" s="55"/>
      <c r="K14" s="55"/>
      <c r="L14" s="56"/>
      <c r="M14" s="46"/>
      <c r="N14" s="47"/>
      <c r="O14" s="48" t="str">
        <f t="shared" si="4"/>
        <v/>
      </c>
      <c r="P14" s="49"/>
      <c r="Q14" s="48" t="str">
        <f t="shared" si="3"/>
        <v/>
      </c>
    </row>
    <row r="15" spans="2:18" ht="15" customHeight="1">
      <c r="B15" s="37">
        <f t="shared" si="1"/>
        <v>45875</v>
      </c>
      <c r="C15" s="38">
        <f t="shared" si="2"/>
        <v>45875</v>
      </c>
      <c r="D15" s="39">
        <f t="shared" si="0"/>
        <v>8</v>
      </c>
      <c r="E15" s="52" t="s">
        <v>34</v>
      </c>
      <c r="F15" s="41"/>
      <c r="G15" s="40"/>
      <c r="H15" s="52"/>
      <c r="I15" s="57"/>
      <c r="J15" s="55"/>
      <c r="K15" s="55"/>
      <c r="L15" s="56"/>
      <c r="M15" s="46">
        <v>0.375</v>
      </c>
      <c r="N15" s="47">
        <v>0.75</v>
      </c>
      <c r="O15" s="48">
        <f t="shared" si="4"/>
        <v>9</v>
      </c>
      <c r="P15" s="49">
        <v>1</v>
      </c>
      <c r="Q15" s="48">
        <f t="shared" si="3"/>
        <v>8</v>
      </c>
    </row>
    <row r="16" spans="2:18" ht="15" customHeight="1">
      <c r="B16" s="37">
        <f t="shared" si="1"/>
        <v>45876</v>
      </c>
      <c r="C16" s="38">
        <f t="shared" si="2"/>
        <v>45876</v>
      </c>
      <c r="D16" s="39">
        <f t="shared" si="0"/>
        <v>5.0000000000000009</v>
      </c>
      <c r="E16" s="40" t="s">
        <v>35</v>
      </c>
      <c r="F16" s="41"/>
      <c r="G16" s="54"/>
      <c r="H16" s="52"/>
      <c r="I16" s="52"/>
      <c r="J16" s="55"/>
      <c r="K16" s="55"/>
      <c r="L16" s="56"/>
      <c r="M16" s="46">
        <v>0.54166666666666663</v>
      </c>
      <c r="N16" s="47">
        <v>0.75</v>
      </c>
      <c r="O16" s="48">
        <f t="shared" si="4"/>
        <v>5.0000000000000009</v>
      </c>
      <c r="P16" s="49"/>
      <c r="Q16" s="48">
        <f t="shared" si="3"/>
        <v>5.0000000000000009</v>
      </c>
    </row>
    <row r="17" spans="2:17" ht="15" customHeight="1">
      <c r="B17" s="37">
        <f t="shared" si="1"/>
        <v>45877</v>
      </c>
      <c r="C17" s="38">
        <f t="shared" si="2"/>
        <v>45877</v>
      </c>
      <c r="D17" s="39">
        <f t="shared" si="0"/>
        <v>5.0000000000000009</v>
      </c>
      <c r="E17" s="40" t="s">
        <v>36</v>
      </c>
      <c r="F17" s="41"/>
      <c r="G17" s="54"/>
      <c r="H17" s="52"/>
      <c r="I17" s="52"/>
      <c r="J17" s="52"/>
      <c r="K17" s="55"/>
      <c r="L17" s="56"/>
      <c r="M17" s="46">
        <v>0.54166666666666663</v>
      </c>
      <c r="N17" s="47">
        <v>0.75</v>
      </c>
      <c r="O17" s="48">
        <f t="shared" si="4"/>
        <v>5.0000000000000009</v>
      </c>
      <c r="P17" s="49"/>
      <c r="Q17" s="48">
        <f t="shared" si="3"/>
        <v>5.0000000000000009</v>
      </c>
    </row>
    <row r="18" spans="2:17" ht="15" customHeight="1">
      <c r="B18" s="37">
        <f t="shared" si="1"/>
        <v>45878</v>
      </c>
      <c r="C18" s="38">
        <f t="shared" si="2"/>
        <v>45878</v>
      </c>
      <c r="D18" s="39" t="str">
        <f t="shared" si="0"/>
        <v/>
      </c>
      <c r="E18" s="82"/>
      <c r="F18" s="83"/>
      <c r="G18" s="83"/>
      <c r="H18" s="83"/>
      <c r="I18" s="83"/>
      <c r="J18" s="83"/>
      <c r="K18" s="83"/>
      <c r="L18" s="84"/>
      <c r="M18" s="46"/>
      <c r="N18" s="47"/>
      <c r="O18" s="50" t="str">
        <f t="shared" si="4"/>
        <v/>
      </c>
      <c r="P18" s="49"/>
      <c r="Q18" s="50" t="str">
        <f t="shared" si="3"/>
        <v/>
      </c>
    </row>
    <row r="19" spans="2:17" ht="15" customHeight="1">
      <c r="B19" s="37">
        <f t="shared" si="1"/>
        <v>45879</v>
      </c>
      <c r="C19" s="38">
        <f t="shared" si="2"/>
        <v>45879</v>
      </c>
      <c r="D19" s="39" t="str">
        <f t="shared" si="0"/>
        <v/>
      </c>
      <c r="E19" s="75"/>
      <c r="F19" s="76"/>
      <c r="G19" s="76"/>
      <c r="H19" s="76"/>
      <c r="I19" s="76"/>
      <c r="J19" s="76"/>
      <c r="K19" s="76"/>
      <c r="L19" s="77"/>
      <c r="M19" s="46"/>
      <c r="N19" s="47"/>
      <c r="O19" s="50" t="str">
        <f t="shared" si="4"/>
        <v/>
      </c>
      <c r="P19" s="51"/>
      <c r="Q19" s="50" t="str">
        <f t="shared" si="3"/>
        <v/>
      </c>
    </row>
    <row r="20" spans="2:17" ht="15" customHeight="1">
      <c r="B20" s="37">
        <f t="shared" si="1"/>
        <v>45880</v>
      </c>
      <c r="C20" s="38">
        <f t="shared" si="2"/>
        <v>45880</v>
      </c>
      <c r="D20" s="39">
        <f t="shared" si="0"/>
        <v>5.0000000000000009</v>
      </c>
      <c r="E20" s="52" t="s">
        <v>37</v>
      </c>
      <c r="F20" s="53"/>
      <c r="G20" s="54"/>
      <c r="H20" s="52"/>
      <c r="I20" s="52"/>
      <c r="J20" s="58"/>
      <c r="K20" s="59"/>
      <c r="L20" s="60"/>
      <c r="M20" s="46">
        <v>0.54166666666666663</v>
      </c>
      <c r="N20" s="47">
        <v>0.75</v>
      </c>
      <c r="O20" s="50">
        <f t="shared" si="4"/>
        <v>5.0000000000000009</v>
      </c>
      <c r="P20" s="51"/>
      <c r="Q20" s="50">
        <f t="shared" si="3"/>
        <v>5.0000000000000009</v>
      </c>
    </row>
    <row r="21" spans="2:17" ht="15" customHeight="1">
      <c r="B21" s="37">
        <f t="shared" si="1"/>
        <v>45881</v>
      </c>
      <c r="C21" s="38">
        <f t="shared" si="2"/>
        <v>45881</v>
      </c>
      <c r="D21" s="39" t="str">
        <f t="shared" si="0"/>
        <v/>
      </c>
      <c r="E21" s="40"/>
      <c r="F21" s="41"/>
      <c r="G21" s="54"/>
      <c r="H21" s="52"/>
      <c r="I21" s="57"/>
      <c r="J21" s="59"/>
      <c r="K21" s="59"/>
      <c r="L21" s="60"/>
      <c r="M21" s="46"/>
      <c r="N21" s="47"/>
      <c r="O21" s="50" t="str">
        <f t="shared" si="4"/>
        <v/>
      </c>
      <c r="P21" s="49"/>
      <c r="Q21" s="50" t="str">
        <f t="shared" si="3"/>
        <v/>
      </c>
    </row>
    <row r="22" spans="2:17" ht="15" customHeight="1">
      <c r="B22" s="37">
        <f t="shared" si="1"/>
        <v>45882</v>
      </c>
      <c r="C22" s="38">
        <f t="shared" si="2"/>
        <v>45882</v>
      </c>
      <c r="D22" s="39" t="str">
        <f t="shared" si="0"/>
        <v/>
      </c>
      <c r="E22" s="52" t="s">
        <v>39</v>
      </c>
      <c r="F22" s="53"/>
      <c r="G22" s="54"/>
      <c r="H22" s="52"/>
      <c r="I22" s="52"/>
      <c r="J22" s="59"/>
      <c r="K22" s="59"/>
      <c r="L22" s="60"/>
      <c r="M22" s="46"/>
      <c r="N22" s="47"/>
      <c r="O22" s="50" t="str">
        <f t="shared" si="4"/>
        <v/>
      </c>
      <c r="P22" s="49"/>
      <c r="Q22" s="50" t="str">
        <f t="shared" si="3"/>
        <v/>
      </c>
    </row>
    <row r="23" spans="2:17" ht="15" customHeight="1">
      <c r="B23" s="37">
        <f t="shared" si="1"/>
        <v>45883</v>
      </c>
      <c r="C23" s="38">
        <f t="shared" si="2"/>
        <v>45883</v>
      </c>
      <c r="D23" s="39" t="str">
        <f t="shared" si="0"/>
        <v/>
      </c>
      <c r="E23" s="52" t="s">
        <v>39</v>
      </c>
      <c r="F23" s="41"/>
      <c r="G23" s="42"/>
      <c r="H23" s="52"/>
      <c r="I23" s="52"/>
      <c r="J23" s="55"/>
      <c r="K23" s="55"/>
      <c r="L23" s="56"/>
      <c r="M23" s="46"/>
      <c r="N23" s="47"/>
      <c r="O23" s="48" t="str">
        <f t="shared" si="4"/>
        <v/>
      </c>
      <c r="P23" s="49"/>
      <c r="Q23" s="48" t="str">
        <f t="shared" si="3"/>
        <v/>
      </c>
    </row>
    <row r="24" spans="2:17" ht="15" customHeight="1">
      <c r="B24" s="37">
        <f t="shared" si="1"/>
        <v>45884</v>
      </c>
      <c r="C24" s="38">
        <f t="shared" si="2"/>
        <v>45884</v>
      </c>
      <c r="D24" s="39" t="str">
        <f t="shared" si="0"/>
        <v/>
      </c>
      <c r="E24" s="52" t="s">
        <v>39</v>
      </c>
      <c r="F24" s="41"/>
      <c r="G24" s="54"/>
      <c r="H24" s="42"/>
      <c r="I24" s="52"/>
      <c r="J24" s="61"/>
      <c r="K24" s="59"/>
      <c r="L24" s="56"/>
      <c r="M24" s="46"/>
      <c r="N24" s="47"/>
      <c r="O24" s="48" t="str">
        <f t="shared" si="4"/>
        <v/>
      </c>
      <c r="P24" s="49"/>
      <c r="Q24" s="48" t="str">
        <f t="shared" si="3"/>
        <v/>
      </c>
    </row>
    <row r="25" spans="2:17" ht="15" customHeight="1">
      <c r="B25" s="37">
        <f t="shared" si="1"/>
        <v>45885</v>
      </c>
      <c r="C25" s="38">
        <f t="shared" si="2"/>
        <v>45885</v>
      </c>
      <c r="D25" s="39" t="str">
        <f t="shared" si="0"/>
        <v/>
      </c>
      <c r="E25" s="72"/>
      <c r="F25" s="73"/>
      <c r="G25" s="73"/>
      <c r="H25" s="73"/>
      <c r="I25" s="73"/>
      <c r="J25" s="73"/>
      <c r="K25" s="73"/>
      <c r="L25" s="74"/>
      <c r="M25" s="46"/>
      <c r="N25" s="47"/>
      <c r="O25" s="48" t="str">
        <f t="shared" si="4"/>
        <v/>
      </c>
      <c r="P25" s="49"/>
      <c r="Q25" s="48" t="str">
        <f t="shared" si="3"/>
        <v/>
      </c>
    </row>
    <row r="26" spans="2:17" ht="15" customHeight="1">
      <c r="B26" s="37">
        <f t="shared" si="1"/>
        <v>45886</v>
      </c>
      <c r="C26" s="38">
        <f t="shared" si="2"/>
        <v>45886</v>
      </c>
      <c r="D26" s="39" t="str">
        <f t="shared" si="0"/>
        <v/>
      </c>
      <c r="E26" s="52"/>
      <c r="F26" s="53"/>
      <c r="G26" s="53"/>
      <c r="H26" s="52"/>
      <c r="I26" s="57"/>
      <c r="J26" s="57"/>
      <c r="K26" s="55"/>
      <c r="L26" s="56"/>
      <c r="M26" s="46"/>
      <c r="N26" s="47"/>
      <c r="O26" s="48" t="str">
        <f t="shared" si="4"/>
        <v/>
      </c>
      <c r="P26" s="49"/>
      <c r="Q26" s="48" t="str">
        <f t="shared" si="3"/>
        <v/>
      </c>
    </row>
    <row r="27" spans="2:17" ht="15" customHeight="1">
      <c r="B27" s="37">
        <f t="shared" si="1"/>
        <v>45887</v>
      </c>
      <c r="C27" s="38">
        <f t="shared" si="2"/>
        <v>45887</v>
      </c>
      <c r="D27" s="39">
        <f t="shared" si="0"/>
        <v>5.0000000000000009</v>
      </c>
      <c r="E27" s="52" t="s">
        <v>38</v>
      </c>
      <c r="F27" s="53"/>
      <c r="G27" s="54"/>
      <c r="H27" s="52"/>
      <c r="I27" s="52"/>
      <c r="J27" s="58"/>
      <c r="K27" s="59"/>
      <c r="L27" s="60"/>
      <c r="M27" s="46">
        <v>0.54166666666666663</v>
      </c>
      <c r="N27" s="47">
        <v>0.75</v>
      </c>
      <c r="O27" s="48">
        <f t="shared" si="4"/>
        <v>5.0000000000000009</v>
      </c>
      <c r="P27" s="49"/>
      <c r="Q27" s="48">
        <f t="shared" si="3"/>
        <v>5.0000000000000009</v>
      </c>
    </row>
    <row r="28" spans="2:17" ht="15" customHeight="1">
      <c r="B28" s="37">
        <f t="shared" si="1"/>
        <v>45888</v>
      </c>
      <c r="C28" s="38">
        <f t="shared" si="2"/>
        <v>45888</v>
      </c>
      <c r="D28" s="39" t="str">
        <f t="shared" si="0"/>
        <v/>
      </c>
      <c r="E28" s="52"/>
      <c r="F28" s="41"/>
      <c r="G28" s="42"/>
      <c r="H28" s="52"/>
      <c r="I28" s="52"/>
      <c r="J28" s="61"/>
      <c r="K28" s="55"/>
      <c r="L28" s="56"/>
      <c r="M28" s="46"/>
      <c r="N28" s="47"/>
      <c r="O28" s="48" t="str">
        <f t="shared" si="4"/>
        <v/>
      </c>
      <c r="P28" s="49"/>
      <c r="Q28" s="48" t="str">
        <f t="shared" si="3"/>
        <v/>
      </c>
    </row>
    <row r="29" spans="2:17" ht="15" customHeight="1">
      <c r="B29" s="37">
        <f t="shared" si="1"/>
        <v>45889</v>
      </c>
      <c r="C29" s="38">
        <f t="shared" si="2"/>
        <v>45889</v>
      </c>
      <c r="D29" s="39">
        <f t="shared" si="0"/>
        <v>8</v>
      </c>
      <c r="E29" s="52" t="s">
        <v>40</v>
      </c>
      <c r="F29" s="41"/>
      <c r="G29" s="42"/>
      <c r="H29" s="52"/>
      <c r="I29" s="52"/>
      <c r="J29" s="55"/>
      <c r="K29" s="55"/>
      <c r="L29" s="56"/>
      <c r="M29" s="46">
        <v>0.375</v>
      </c>
      <c r="N29" s="47">
        <v>0.75</v>
      </c>
      <c r="O29" s="48">
        <f t="shared" si="4"/>
        <v>9</v>
      </c>
      <c r="P29" s="49">
        <v>1</v>
      </c>
      <c r="Q29" s="48">
        <f t="shared" si="3"/>
        <v>8</v>
      </c>
    </row>
    <row r="30" spans="2:17" ht="15" customHeight="1">
      <c r="B30" s="37">
        <f t="shared" si="1"/>
        <v>45890</v>
      </c>
      <c r="C30" s="38">
        <f t="shared" si="2"/>
        <v>45890</v>
      </c>
      <c r="D30" s="39">
        <f t="shared" si="0"/>
        <v>5.0000000000000009</v>
      </c>
      <c r="E30" s="52" t="s">
        <v>40</v>
      </c>
      <c r="F30" s="53"/>
      <c r="G30" s="57"/>
      <c r="H30" s="52"/>
      <c r="I30" s="57"/>
      <c r="J30" s="57"/>
      <c r="K30" s="55"/>
      <c r="L30" s="56"/>
      <c r="M30" s="46">
        <v>0.54166666666666663</v>
      </c>
      <c r="N30" s="47">
        <v>0.75</v>
      </c>
      <c r="O30" s="48">
        <f t="shared" si="4"/>
        <v>5.0000000000000009</v>
      </c>
      <c r="P30" s="49"/>
      <c r="Q30" s="48">
        <f t="shared" si="3"/>
        <v>5.0000000000000009</v>
      </c>
    </row>
    <row r="31" spans="2:17" ht="15" customHeight="1">
      <c r="B31" s="37">
        <f t="shared" si="1"/>
        <v>45891</v>
      </c>
      <c r="C31" s="38">
        <f t="shared" si="2"/>
        <v>45891</v>
      </c>
      <c r="D31" s="39">
        <f t="shared" si="0"/>
        <v>5.0000000000000009</v>
      </c>
      <c r="E31" s="52" t="s">
        <v>40</v>
      </c>
      <c r="F31" s="41"/>
      <c r="G31" s="40"/>
      <c r="H31" s="52"/>
      <c r="I31" s="57"/>
      <c r="J31" s="55"/>
      <c r="K31" s="55"/>
      <c r="L31" s="56"/>
      <c r="M31" s="46">
        <v>0.54166666666666663</v>
      </c>
      <c r="N31" s="47">
        <v>0.75</v>
      </c>
      <c r="O31" s="48">
        <f t="shared" si="4"/>
        <v>5.0000000000000009</v>
      </c>
      <c r="P31" s="49"/>
      <c r="Q31" s="48">
        <f t="shared" si="3"/>
        <v>5.0000000000000009</v>
      </c>
    </row>
    <row r="32" spans="2:17" ht="15" customHeight="1">
      <c r="B32" s="37">
        <f t="shared" si="1"/>
        <v>45892</v>
      </c>
      <c r="C32" s="38">
        <f t="shared" si="2"/>
        <v>45892</v>
      </c>
      <c r="D32" s="39" t="str">
        <f t="shared" si="0"/>
        <v/>
      </c>
      <c r="E32" s="72"/>
      <c r="F32" s="73"/>
      <c r="G32" s="73"/>
      <c r="H32" s="73"/>
      <c r="I32" s="73"/>
      <c r="J32" s="73"/>
      <c r="K32" s="73"/>
      <c r="L32" s="74"/>
      <c r="M32" s="46"/>
      <c r="N32" s="47"/>
      <c r="O32" s="50" t="str">
        <f t="shared" si="4"/>
        <v/>
      </c>
      <c r="P32" s="49"/>
      <c r="Q32" s="50" t="str">
        <f t="shared" si="3"/>
        <v/>
      </c>
    </row>
    <row r="33" spans="2:17" ht="15" customHeight="1">
      <c r="B33" s="37">
        <f t="shared" si="1"/>
        <v>45893</v>
      </c>
      <c r="C33" s="38">
        <f t="shared" si="2"/>
        <v>45893</v>
      </c>
      <c r="D33" s="39" t="str">
        <f t="shared" si="0"/>
        <v/>
      </c>
      <c r="E33" s="52"/>
      <c r="F33" s="53"/>
      <c r="G33" s="54"/>
      <c r="H33" s="52"/>
      <c r="I33" s="52"/>
      <c r="J33" s="59"/>
      <c r="K33" s="59"/>
      <c r="L33" s="60"/>
      <c r="M33" s="46"/>
      <c r="N33" s="47"/>
      <c r="O33" s="48" t="str">
        <f t="shared" si="4"/>
        <v/>
      </c>
      <c r="P33" s="49"/>
      <c r="Q33" s="48" t="str">
        <f t="shared" si="3"/>
        <v/>
      </c>
    </row>
    <row r="34" spans="2:17" ht="15" customHeight="1">
      <c r="B34" s="37">
        <f t="shared" si="1"/>
        <v>45894</v>
      </c>
      <c r="C34" s="38">
        <f t="shared" si="2"/>
        <v>45894</v>
      </c>
      <c r="D34" s="39">
        <f t="shared" si="0"/>
        <v>5.0000000000000009</v>
      </c>
      <c r="E34" s="52" t="s">
        <v>41</v>
      </c>
      <c r="F34" s="53"/>
      <c r="G34" s="54"/>
      <c r="H34" s="52"/>
      <c r="I34" s="52"/>
      <c r="J34" s="58"/>
      <c r="K34" s="59"/>
      <c r="L34" s="60"/>
      <c r="M34" s="46">
        <v>0.54166666666666663</v>
      </c>
      <c r="N34" s="47">
        <v>0.75</v>
      </c>
      <c r="O34" s="48">
        <f t="shared" si="4"/>
        <v>5.0000000000000009</v>
      </c>
      <c r="P34" s="49"/>
      <c r="Q34" s="48">
        <f t="shared" si="3"/>
        <v>5.0000000000000009</v>
      </c>
    </row>
    <row r="35" spans="2:17" ht="15" customHeight="1">
      <c r="B35" s="37">
        <f t="shared" si="1"/>
        <v>45895</v>
      </c>
      <c r="C35" s="38">
        <f t="shared" si="2"/>
        <v>45895</v>
      </c>
      <c r="D35" s="39" t="str">
        <f t="shared" si="0"/>
        <v/>
      </c>
      <c r="E35" s="52"/>
      <c r="F35" s="41"/>
      <c r="G35" s="40"/>
      <c r="H35" s="42"/>
      <c r="I35" s="57"/>
      <c r="J35" s="55"/>
      <c r="K35" s="55"/>
      <c r="L35" s="56"/>
      <c r="M35" s="46"/>
      <c r="N35" s="47"/>
      <c r="O35" s="48" t="str">
        <f t="shared" si="4"/>
        <v/>
      </c>
      <c r="P35" s="49"/>
      <c r="Q35" s="48" t="str">
        <f t="shared" si="3"/>
        <v/>
      </c>
    </row>
    <row r="36" spans="2:17" ht="15" customHeight="1">
      <c r="B36" s="37">
        <f t="shared" si="1"/>
        <v>45896</v>
      </c>
      <c r="C36" s="38">
        <f t="shared" si="2"/>
        <v>45896</v>
      </c>
      <c r="D36" s="39">
        <f t="shared" si="0"/>
        <v>8</v>
      </c>
      <c r="E36" s="52" t="s">
        <v>42</v>
      </c>
      <c r="F36" s="41"/>
      <c r="G36" s="40"/>
      <c r="H36" s="52"/>
      <c r="I36" s="57"/>
      <c r="J36" s="55"/>
      <c r="K36" s="55"/>
      <c r="L36" s="56"/>
      <c r="M36" s="46">
        <v>0.375</v>
      </c>
      <c r="N36" s="47">
        <v>0.75</v>
      </c>
      <c r="O36" s="48">
        <f t="shared" si="4"/>
        <v>9</v>
      </c>
      <c r="P36" s="49">
        <v>1</v>
      </c>
      <c r="Q36" s="48">
        <f t="shared" si="3"/>
        <v>8</v>
      </c>
    </row>
    <row r="37" spans="2:17" ht="15" customHeight="1">
      <c r="B37" s="37">
        <f t="shared" si="1"/>
        <v>45897</v>
      </c>
      <c r="C37" s="38">
        <f t="shared" si="2"/>
        <v>45897</v>
      </c>
      <c r="D37" s="39">
        <f t="shared" si="0"/>
        <v>5.0000000000000009</v>
      </c>
      <c r="E37" s="52" t="s">
        <v>43</v>
      </c>
      <c r="F37" s="41"/>
      <c r="G37" s="40"/>
      <c r="H37" s="57"/>
      <c r="I37" s="57"/>
      <c r="J37" s="55"/>
      <c r="K37" s="55"/>
      <c r="L37" s="56"/>
      <c r="M37" s="46">
        <v>0.54166666666666663</v>
      </c>
      <c r="N37" s="47">
        <v>0.75</v>
      </c>
      <c r="O37" s="48">
        <f t="shared" si="4"/>
        <v>5.0000000000000009</v>
      </c>
      <c r="P37" s="49"/>
      <c r="Q37" s="48">
        <f t="shared" si="3"/>
        <v>5.0000000000000009</v>
      </c>
    </row>
    <row r="38" spans="2:17" ht="15" customHeight="1">
      <c r="B38" s="37">
        <f t="shared" si="1"/>
        <v>45898</v>
      </c>
      <c r="C38" s="38">
        <f t="shared" si="2"/>
        <v>45898</v>
      </c>
      <c r="D38" s="39">
        <f t="shared" si="0"/>
        <v>5.0000000000000009</v>
      </c>
      <c r="E38" s="52" t="s">
        <v>43</v>
      </c>
      <c r="F38" s="53"/>
      <c r="G38" s="54"/>
      <c r="H38" s="52"/>
      <c r="I38" s="52"/>
      <c r="J38" s="52"/>
      <c r="K38" s="59"/>
      <c r="L38" s="60"/>
      <c r="M38" s="46">
        <v>0.54166666666666663</v>
      </c>
      <c r="N38" s="47">
        <v>0.75</v>
      </c>
      <c r="O38" s="48">
        <f t="shared" si="4"/>
        <v>5.0000000000000009</v>
      </c>
      <c r="P38" s="49"/>
      <c r="Q38" s="48">
        <f t="shared" si="3"/>
        <v>5.0000000000000009</v>
      </c>
    </row>
    <row r="39" spans="2:17" ht="15" customHeight="1">
      <c r="B39" s="37">
        <f t="shared" si="1"/>
        <v>45899</v>
      </c>
      <c r="C39" s="38">
        <f t="shared" si="2"/>
        <v>45899</v>
      </c>
      <c r="D39" s="39" t="str">
        <f t="shared" si="0"/>
        <v/>
      </c>
      <c r="E39" s="72"/>
      <c r="F39" s="73"/>
      <c r="G39" s="73"/>
      <c r="H39" s="73"/>
      <c r="I39" s="73"/>
      <c r="J39" s="73"/>
      <c r="K39" s="73"/>
      <c r="L39" s="74"/>
      <c r="M39" s="46"/>
      <c r="N39" s="47"/>
      <c r="O39" s="48" t="str">
        <f t="shared" si="4"/>
        <v/>
      </c>
      <c r="P39" s="49"/>
      <c r="Q39" s="48" t="str">
        <f t="shared" si="3"/>
        <v/>
      </c>
    </row>
    <row r="40" spans="2:17" ht="15" customHeight="1" thickBot="1">
      <c r="B40" s="37">
        <f>B39+1</f>
        <v>45900</v>
      </c>
      <c r="C40" s="38">
        <f t="shared" si="2"/>
        <v>45900</v>
      </c>
      <c r="D40" s="39" t="str">
        <f t="shared" si="0"/>
        <v/>
      </c>
      <c r="E40" s="52"/>
      <c r="F40" s="41"/>
      <c r="G40" s="40"/>
      <c r="H40" s="52"/>
      <c r="I40" s="52"/>
      <c r="J40" s="58"/>
      <c r="K40" s="59"/>
      <c r="L40" s="60"/>
      <c r="M40" s="46"/>
      <c r="N40" s="47"/>
      <c r="O40" s="48" t="str">
        <f t="shared" si="4"/>
        <v/>
      </c>
      <c r="P40" s="49"/>
      <c r="Q40" s="48" t="str">
        <f>IF(ISBLANK(M40),"",(O40-P40))</f>
        <v/>
      </c>
    </row>
    <row r="41" spans="2:17" ht="15" customHeight="1" thickTop="1">
      <c r="B41" s="62"/>
      <c r="C41" s="63" t="s">
        <v>18</v>
      </c>
      <c r="D41" s="64">
        <f>SUM(D10:D40)</f>
        <v>79</v>
      </c>
      <c r="E41" s="65" t="s">
        <v>19</v>
      </c>
      <c r="F41" s="66"/>
      <c r="G41" s="66"/>
      <c r="H41" s="67"/>
      <c r="I41" s="68"/>
      <c r="J41" s="68"/>
      <c r="K41" s="68"/>
      <c r="L41" s="69"/>
      <c r="M41" s="70"/>
      <c r="N41" s="71"/>
      <c r="O41" s="71"/>
      <c r="P41" s="71"/>
      <c r="Q41" s="71"/>
    </row>
    <row r="42" spans="2:17">
      <c r="B42" s="23" t="s">
        <v>20</v>
      </c>
      <c r="C42" s="24"/>
      <c r="D42" s="25"/>
      <c r="E42" s="25"/>
      <c r="F42" s="25"/>
      <c r="G42" s="25"/>
      <c r="H42" s="25"/>
      <c r="I42" s="25"/>
      <c r="J42" s="25"/>
      <c r="K42" s="25"/>
      <c r="L42" s="26"/>
      <c r="M42" s="1" t="s">
        <v>21</v>
      </c>
    </row>
    <row r="43" spans="2:17">
      <c r="B43" s="27"/>
      <c r="C43" s="4"/>
      <c r="D43" s="28"/>
      <c r="E43" s="4"/>
      <c r="F43" s="4"/>
      <c r="G43" s="4"/>
      <c r="H43" s="4"/>
      <c r="I43" s="4"/>
      <c r="J43" s="4"/>
      <c r="K43" s="4"/>
      <c r="L43" s="29"/>
      <c r="N43" s="1" t="s">
        <v>22</v>
      </c>
    </row>
    <row r="44" spans="2:17">
      <c r="B44" s="27"/>
      <c r="C44" s="4"/>
      <c r="D44" s="28"/>
      <c r="E44" s="4"/>
      <c r="F44" s="4"/>
      <c r="G44" s="4"/>
      <c r="H44" s="4"/>
      <c r="I44" s="4"/>
      <c r="J44" s="4"/>
      <c r="K44" s="4"/>
      <c r="L44" s="29"/>
      <c r="N44" s="1" t="s">
        <v>23</v>
      </c>
    </row>
    <row r="45" spans="2:17">
      <c r="B45" s="27"/>
      <c r="C45" s="4"/>
      <c r="D45" s="28"/>
      <c r="E45" s="4"/>
      <c r="F45" s="4"/>
      <c r="G45" s="4"/>
      <c r="H45" s="4"/>
      <c r="I45" s="4"/>
      <c r="J45" s="4"/>
      <c r="K45" s="4"/>
      <c r="L45" s="29"/>
      <c r="N45" s="1" t="s">
        <v>24</v>
      </c>
    </row>
    <row r="46" spans="2:17">
      <c r="B46" s="27"/>
      <c r="C46" s="4"/>
      <c r="D46" s="28"/>
      <c r="E46" s="4"/>
      <c r="F46" s="4"/>
      <c r="G46" s="4"/>
      <c r="H46" s="4"/>
      <c r="I46" s="4"/>
      <c r="J46" s="4"/>
      <c r="K46" s="4"/>
      <c r="L46" s="29"/>
    </row>
    <row r="47" spans="2:17">
      <c r="B47" s="27"/>
      <c r="C47" s="4"/>
      <c r="D47" s="28"/>
      <c r="E47" s="4"/>
      <c r="F47" s="4"/>
      <c r="G47" s="4"/>
      <c r="H47" s="4"/>
      <c r="I47" s="4"/>
      <c r="J47" s="4"/>
      <c r="K47" s="4"/>
      <c r="L47" s="29"/>
    </row>
    <row r="48" spans="2:17">
      <c r="B48" s="27"/>
      <c r="C48" s="4"/>
      <c r="D48" s="28"/>
      <c r="E48" s="4"/>
      <c r="F48" s="4"/>
      <c r="G48" s="4"/>
      <c r="H48" s="4"/>
      <c r="I48" s="4"/>
      <c r="J48" s="4"/>
      <c r="K48" s="4"/>
      <c r="L48" s="29"/>
      <c r="N48" s="1" t="s">
        <v>25</v>
      </c>
    </row>
    <row r="49" spans="2:14">
      <c r="B49" s="27"/>
      <c r="C49" s="4"/>
      <c r="D49" s="28"/>
      <c r="E49" s="4"/>
      <c r="F49" s="4"/>
      <c r="G49" s="4"/>
      <c r="H49" s="4"/>
      <c r="I49" s="4"/>
      <c r="J49" s="4"/>
      <c r="K49" s="4"/>
      <c r="L49" s="29"/>
    </row>
    <row r="50" spans="2:14">
      <c r="B50" s="27"/>
      <c r="C50" s="30"/>
      <c r="D50" s="4"/>
      <c r="E50" s="4"/>
      <c r="F50" s="4"/>
      <c r="G50" s="4"/>
      <c r="H50" s="4"/>
      <c r="I50" s="4"/>
      <c r="J50" s="4"/>
      <c r="K50" s="4"/>
      <c r="L50" s="29"/>
    </row>
    <row r="51" spans="2:14">
      <c r="B51" s="27"/>
      <c r="C51" s="30"/>
      <c r="D51" s="4"/>
      <c r="E51" s="4"/>
      <c r="F51" s="4"/>
      <c r="G51" s="4"/>
      <c r="H51" s="4"/>
      <c r="I51" s="4"/>
      <c r="J51" s="31"/>
      <c r="K51" s="4"/>
      <c r="L51" s="29"/>
      <c r="M51" s="1" t="s">
        <v>26</v>
      </c>
    </row>
    <row r="52" spans="2:14">
      <c r="B52" s="27"/>
      <c r="C52" s="4"/>
      <c r="D52" s="4"/>
      <c r="E52" s="4"/>
      <c r="F52" s="4"/>
      <c r="G52" s="4"/>
      <c r="H52" s="4"/>
      <c r="I52" s="4"/>
      <c r="J52" s="4"/>
      <c r="K52" s="4"/>
      <c r="L52" s="29"/>
      <c r="N52" s="1" t="s">
        <v>27</v>
      </c>
    </row>
    <row r="53" spans="2:14">
      <c r="B53" s="27"/>
      <c r="C53" s="4"/>
      <c r="D53" s="4"/>
      <c r="E53" s="4"/>
      <c r="F53" s="4"/>
      <c r="G53" s="4"/>
      <c r="H53" s="4"/>
      <c r="I53" s="4"/>
      <c r="J53" s="4"/>
      <c r="K53" s="4"/>
      <c r="L53" s="29"/>
      <c r="N53" s="1" t="s">
        <v>28</v>
      </c>
    </row>
    <row r="54" spans="2:14">
      <c r="B54" s="27"/>
      <c r="C54" s="4"/>
      <c r="D54" s="4"/>
      <c r="E54" s="4"/>
      <c r="F54" s="4"/>
      <c r="G54" s="4"/>
      <c r="H54" s="4"/>
      <c r="I54" s="4"/>
      <c r="J54" s="4"/>
      <c r="K54" s="4"/>
      <c r="L54" s="29"/>
      <c r="N54" s="1" t="s">
        <v>29</v>
      </c>
    </row>
    <row r="55" spans="2:14">
      <c r="B55" s="27"/>
      <c r="C55" s="4"/>
      <c r="D55" s="4"/>
      <c r="E55" s="4"/>
      <c r="F55" s="4"/>
      <c r="G55" s="4"/>
      <c r="H55" s="4"/>
      <c r="I55" s="4"/>
      <c r="J55" s="4"/>
      <c r="K55" s="4"/>
      <c r="L55" s="29"/>
      <c r="N55" s="1" t="s">
        <v>30</v>
      </c>
    </row>
    <row r="56" spans="2:14">
      <c r="B56" s="27"/>
      <c r="C56" s="4"/>
      <c r="D56" s="4"/>
      <c r="E56" s="4"/>
      <c r="F56" s="4"/>
      <c r="G56" s="4"/>
      <c r="H56" s="4"/>
      <c r="I56" s="4"/>
      <c r="J56" s="4"/>
      <c r="K56" s="4"/>
      <c r="L56" s="29"/>
      <c r="N56" s="1" t="s">
        <v>31</v>
      </c>
    </row>
    <row r="57" spans="2:14">
      <c r="B57" s="27"/>
      <c r="C57" s="4"/>
      <c r="D57" s="30"/>
      <c r="E57" s="4"/>
      <c r="F57" s="4"/>
      <c r="G57" s="32"/>
      <c r="H57" s="32"/>
      <c r="I57" s="30"/>
      <c r="J57" s="33"/>
      <c r="K57" s="4"/>
      <c r="L57" s="29"/>
    </row>
    <row r="58" spans="2:14">
      <c r="B58" s="34"/>
      <c r="C58" s="10"/>
      <c r="D58" s="10"/>
      <c r="E58" s="10"/>
      <c r="F58" s="10"/>
      <c r="G58" s="10"/>
      <c r="H58" s="10"/>
      <c r="I58" s="10"/>
      <c r="J58" s="10"/>
      <c r="K58" s="10"/>
      <c r="L58" s="35"/>
    </row>
  </sheetData>
  <mergeCells count="9">
    <mergeCell ref="E39:L39"/>
    <mergeCell ref="E32:L32"/>
    <mergeCell ref="E25:L25"/>
    <mergeCell ref="E19:L19"/>
    <mergeCell ref="B3:E3"/>
    <mergeCell ref="E11:L11"/>
    <mergeCell ref="E12:L12"/>
    <mergeCell ref="E13:L13"/>
    <mergeCell ref="E18:L18"/>
  </mergeCells>
  <phoneticPr fontId="3"/>
  <conditionalFormatting sqref="B10:Q10 B11:E13 M11:Q13 B14:Q17 B18:E19 M18:Q19 B20:Q21 B22:D24 F22:Q24 B25:E25 M25:Q25 B26:Q31 B32:E32 M32:Q32 B33:Q38 B39:E39 M39:Q39 B40:Q40">
    <cfRule type="expression" dxfId="6" priority="1" stopIfTrue="1">
      <formula>WEEKDAY($B10)=1</formula>
    </cfRule>
    <cfRule type="expression" dxfId="5" priority="2" stopIfTrue="1">
      <formula>WEEKDAY($B10)=7</formula>
    </cfRule>
    <cfRule type="expression" dxfId="4" priority="3" stopIfTrue="1">
      <formula>($R10)=("祝")</formula>
    </cfRule>
  </conditionalFormatting>
  <conditionalFormatting sqref="E22:E24">
    <cfRule type="expression" dxfId="3" priority="14" stopIfTrue="1">
      <formula>WEEKDAY($B21)=1</formula>
    </cfRule>
    <cfRule type="expression" dxfId="2" priority="15" stopIfTrue="1">
      <formula>WEEKDAY($B21)=7</formula>
    </cfRule>
    <cfRule type="expression" dxfId="1" priority="16" stopIfTrue="1">
      <formula>($R21)=("祝")</formula>
    </cfRule>
  </conditionalFormatting>
  <conditionalFormatting sqref="R10:R12">
    <cfRule type="expression" dxfId="0" priority="10" stopIfTrue="1">
      <formula>WEEKDAY($C10)=1</formula>
    </cfRule>
  </conditionalFormatting>
  <pageMargins left="0.49" right="0.39" top="0.72" bottom="0.48" header="0.27" footer="0.24"/>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9E82EC969A744AD4BA55B5D970761" ma:contentTypeVersion="4" ma:contentTypeDescription="Create a new document." ma:contentTypeScope="" ma:versionID="c5a23108fa70c0cec1372931da3e1c43">
  <xsd:schema xmlns:xsd="http://www.w3.org/2001/XMLSchema" xmlns:xs="http://www.w3.org/2001/XMLSchema" xmlns:p="http://schemas.microsoft.com/office/2006/metadata/properties" xmlns:ns2="5e782d56-ad32-4bee-9066-904238069954" targetNamespace="http://schemas.microsoft.com/office/2006/metadata/properties" ma:root="true" ma:fieldsID="849f71eaac873fd0a49889764f955199" ns2:_="">
    <xsd:import namespace="5e782d56-ad32-4bee-9066-9042380699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782d56-ad32-4bee-9066-9042380699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6FE3814-A1A6-45F1-8A91-9062CAE10E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782d56-ad32-4bee-9066-9042380699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97394D-CE14-4EB0-84FF-ADADD2F10632}">
  <ds:schemaRefs>
    <ds:schemaRef ds:uri="http://schemas.microsoft.com/sharepoint/v3/contenttype/forms"/>
  </ds:schemaRefs>
</ds:datastoreItem>
</file>

<file path=customXml/itemProps3.xml><?xml version="1.0" encoding="utf-8"?>
<ds:datastoreItem xmlns:ds="http://schemas.openxmlformats.org/officeDocument/2006/customXml" ds:itemID="{E723ED06-28EB-45AA-ABCD-C39AF330F47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作業報告書</vt:lpstr>
      <vt:lpstr>作業報告書!Print_Area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matsumoto</dc:creator>
  <cp:keywords/>
  <dc:description/>
  <cp:lastModifiedBy>中村一真</cp:lastModifiedBy>
  <cp:revision/>
  <cp:lastPrinted>2025-09-15T04:21:36Z</cp:lastPrinted>
  <dcterms:created xsi:type="dcterms:W3CDTF">2010-05-07T09:53:55Z</dcterms:created>
  <dcterms:modified xsi:type="dcterms:W3CDTF">2025-09-30T21:01:15Z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0x0101002609E82EC969A744AD4BA55B5D970761</vt:lpwstr>
  </property>
</Properties>
</file>